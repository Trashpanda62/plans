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Sheet" sheetId="1" state="visible" r:id="rId3"/>
    <sheet name="Read 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<sst xmlns="http://schemas.openxmlformats.org/spreadsheetml/2006/main" count="153" uniqueCount="132">
  <si>
    <t xml:space="preserve">TAPESTRY ACRES  ·  FARMSTAND BUILD  —  BILL OF MATERIALS</t>
  </si>
  <si>
    <t xml:space="preserve">Farmstand variant (Giftplan2) + Water/Cooler Station  ·  Prices are estimates — verify at your local yard  ·  See ‘Read Me’ tab</t>
  </si>
  <si>
    <t xml:space="preserve">Item</t>
  </si>
  <si>
    <t xml:space="preserve">Spec / Size</t>
  </si>
  <si>
    <t xml:space="preserve">Qty</t>
  </si>
  <si>
    <t xml:space="preserve">Unit</t>
  </si>
  <si>
    <t xml:space="preserve">Est. Unit $</t>
  </si>
  <si>
    <t xml:space="preserve">Est. Total $</t>
  </si>
  <si>
    <t xml:space="preserve">Got it?</t>
  </si>
  <si>
    <t xml:space="preserve">Notes</t>
  </si>
  <si>
    <t xml:space="preserve">STRUCTURAL LUMBER</t>
  </si>
  <si>
    <t xml:space="preserve">4×4 posts</t>
  </si>
  <si>
    <t xml:space="preserve">4×4 × 10' pressure-treated (#2 pine)</t>
  </si>
  <si>
    <t xml:space="preserve">pcs</t>
  </si>
  <si>
    <t xml:space="preserve">Trim to 108" (front) and 96" (rear/beam) on site</t>
  </si>
  <si>
    <t xml:space="preserve">2×6 joists</t>
  </si>
  <si>
    <t xml:space="preserve">2×6 × 8' KD pine (#2 SPF)</t>
  </si>
  <si>
    <t xml:space="preserve">Joists A (89"), B (41"), C (45" ×5)</t>
  </si>
  <si>
    <t xml:space="preserve">Subtotal</t>
  </si>
  <si>
    <t xml:space="preserve">FRAMING LUMBER</t>
  </si>
  <si>
    <t xml:space="preserve">2×4 framing</t>
  </si>
  <si>
    <t xml:space="preserve">2×4 × 8' kiln-dried (#2 SPF)</t>
  </si>
  <si>
    <t xml:space="preserve">All wall, shelf, rafter &amp; door frames — incl. waste</t>
  </si>
  <si>
    <t xml:space="preserve">PLYWOOD</t>
  </si>
  <si>
    <t xml:space="preserve">3/4" plywood</t>
  </si>
  <si>
    <t xml:space="preserve">3/4" 4×8 sanded (BC or better)</t>
  </si>
  <si>
    <t xml:space="preserve">sheets</t>
  </si>
  <si>
    <t xml:space="preserve">All panels, shelves, doors, trims. See Read Me: pieces &gt;96"</t>
  </si>
  <si>
    <t xml:space="preserve">ROOFING</t>
  </si>
  <si>
    <t xml:space="preserve">Metal roofing</t>
  </si>
  <si>
    <t xml:space="preserve">Corrugated 4'×8', 29-ga galvanized</t>
  </si>
  <si>
    <t xml:space="preserve">One-corrugation side laps</t>
  </si>
  <si>
    <t xml:space="preserve">Roofing screws</t>
  </si>
  <si>
    <t xml:space="preserve">1-1/2" hex washer head w/ neoprene (#10)</t>
  </si>
  <si>
    <t xml:space="preserve">box (250)</t>
  </si>
  <si>
    <t xml:space="preserve">~200 needed for the roof</t>
  </si>
  <si>
    <t xml:space="preserve">Foam closure strip</t>
  </si>
  <si>
    <t xml:space="preserve">Corrugated profile, 8'</t>
  </si>
  <si>
    <t xml:space="preserve">pack</t>
  </si>
  <si>
    <t xml:space="preserve">Weatherproof the high (front) edge</t>
  </si>
  <si>
    <t xml:space="preserve">FASTENERS &amp; HARDWARE</t>
  </si>
  <si>
    <t xml:space="preserve">Structural screws</t>
  </si>
  <si>
    <t xml:space="preserve">6" structural (GRK RSS / Simpson, #14)</t>
  </si>
  <si>
    <t xml:space="preserve">box (50)</t>
  </si>
  <si>
    <t xml:space="preserve">Post-to-beam &amp; joist connections; pre-drill</t>
  </si>
  <si>
    <t xml:space="preserve">Framing screws</t>
  </si>
  <si>
    <t xml:space="preserve">2-1/4" coarse-thread (#8)</t>
  </si>
  <si>
    <t xml:space="preserve">box (1 lb)</t>
  </si>
  <si>
    <t xml:space="preserve">All 2×4 frame assembly</t>
  </si>
  <si>
    <t xml:space="preserve">Panel screws</t>
  </si>
  <si>
    <t xml:space="preserve">1-1/2" fine-thread (#8)</t>
  </si>
  <si>
    <t xml:space="preserve">All plywood panel attachment</t>
  </si>
  <si>
    <t xml:space="preserve">Door hinges</t>
  </si>
  <si>
    <t xml:space="preserve">6" heavy-duty strap hinge (black)</t>
  </si>
  <si>
    <t xml:space="preserve">5 per door pair (2 pairs = 4 doors)</t>
  </si>
  <si>
    <t xml:space="preserve">Door handles</t>
  </si>
  <si>
    <t xml:space="preserve">6-8" rustic pull</t>
  </si>
  <si>
    <t xml:space="preserve">1 per door pair</t>
  </si>
  <si>
    <t xml:space="preserve">Chrome rod</t>
  </si>
  <si>
    <t xml:space="preserve">Closet rod 36-40", 1" dia.</t>
  </si>
  <si>
    <t xml:space="preserve">pc</t>
  </si>
  <si>
    <t xml:space="preserve">Interior coat/display rod (per plan)</t>
  </si>
  <si>
    <t xml:space="preserve">Coat hooks</t>
  </si>
  <si>
    <t xml:space="preserve">Heavy-duty, black or chrome</t>
  </si>
  <si>
    <t xml:space="preserve">Door interior</t>
  </si>
  <si>
    <t xml:space="preserve">Rafter ties</t>
  </si>
  <si>
    <t xml:space="preserve">Simpson H1 hurricane tie</t>
  </si>
  <si>
    <t xml:space="preserve">2 per rafter end × 7 rafters</t>
  </si>
  <si>
    <t xml:space="preserve">Post bases</t>
  </si>
  <si>
    <t xml:space="preserve">Simpson ABA44 adjustable</t>
  </si>
  <si>
    <t xml:space="preserve">1 per concrete footing</t>
  </si>
  <si>
    <t xml:space="preserve">Joist hangers</t>
  </si>
  <si>
    <t xml:space="preserve">Simpson LUS26 (2×6)</t>
  </si>
  <si>
    <t xml:space="preserve">Recommended at joist ends</t>
  </si>
  <si>
    <t xml:space="preserve">FOUNDATION (concrete footings — not wheels)</t>
  </si>
  <si>
    <t xml:space="preserve">Concrete mix</t>
  </si>
  <si>
    <t xml:space="preserve">80 lb fast-set (Quikrete or equiv.)</t>
  </si>
  <si>
    <t xml:space="preserve">bags</t>
  </si>
  <si>
    <t xml:space="preserve">~2 per footing, 12" dia × 18" deep</t>
  </si>
  <si>
    <t xml:space="preserve">Tube forms</t>
  </si>
  <si>
    <t xml:space="preserve">8" Sonotube cardboard form</t>
  </si>
  <si>
    <t xml:space="preserve">Shapes footings above grade</t>
  </si>
  <si>
    <t xml:space="preserve">ADHESIVES &amp; FINISHES</t>
  </si>
  <si>
    <t xml:space="preserve">Wood glue</t>
  </si>
  <si>
    <t xml:space="preserve">Titebond II (16 oz), water-resistant</t>
  </si>
  <si>
    <t xml:space="preserve">bottles</t>
  </si>
  <si>
    <t xml:space="preserve">Door-panel lamination</t>
  </si>
  <si>
    <t xml:space="preserve">Exterior stain</t>
  </si>
  <si>
    <t xml:space="preserve">Oil-based exterior wood stain</t>
  </si>
  <si>
    <t xml:space="preserve">gal</t>
  </si>
  <si>
    <t xml:space="preserve">All exterior wood surfaces</t>
  </si>
  <si>
    <t xml:space="preserve">Exterior primer</t>
  </si>
  <si>
    <t xml:space="preserve">Exterior wood primer</t>
  </si>
  <si>
    <t xml:space="preserve">qt</t>
  </si>
  <si>
    <t xml:space="preserve">Plywood panel edges especially</t>
  </si>
  <si>
    <t xml:space="preserve">Exterior caulk</t>
  </si>
  <si>
    <t xml:space="preserve">Paintable, 10 oz tube</t>
  </si>
  <si>
    <t xml:space="preserve">tubes</t>
  </si>
  <si>
    <t xml:space="preserve">Seal panel edges &amp; roof-wall joints</t>
  </si>
  <si>
    <t xml:space="preserve">BUILD MATERIALS SUBTOTAL</t>
  </si>
  <si>
    <t xml:space="preserve">Contingency (10% of build materials)</t>
  </si>
  <si>
    <t xml:space="preserve">WATER / COOLER STATION ADD-ON</t>
  </si>
  <si>
    <t xml:space="preserve">Wheeled cooler</t>
  </si>
  <si>
    <t xml:space="preserve">~100 qt, ~28"W × 15"D × 18"H</t>
  </si>
  <si>
    <t xml:space="preserve">ea</t>
  </si>
  <si>
    <t xml:space="preserve">Must fit ~42-3/4" lower compartment w/ ~2" clearance</t>
  </si>
  <si>
    <t xml:space="preserve">Waterproof mat/liner</t>
  </si>
  <si>
    <t xml:space="preserve">Rubber, cut to fit floor</t>
  </si>
  <si>
    <t xml:space="preserve">Protects floor panel from melt/moisture</t>
  </si>
  <si>
    <t xml:space="preserve">Eye hook + bungee</t>
  </si>
  <si>
    <t xml:space="preserve">Tie-down set</t>
  </si>
  <si>
    <t xml:space="preserve">sets</t>
  </si>
  <si>
    <t xml:space="preserve">Holds cooler in place</t>
  </si>
  <si>
    <t xml:space="preserve">Tap / spigot (optional)</t>
  </si>
  <si>
    <t xml:space="preserve">3/4" BPA-free</t>
  </si>
  <si>
    <t xml:space="preserve">Optional dispenser — skip if not needed</t>
  </si>
  <si>
    <t xml:space="preserve">Ice gel packs</t>
  </si>
  <si>
    <t xml:space="preserve">4 lb reusable</t>
  </si>
  <si>
    <t xml:space="preserve">Produce cooling</t>
  </si>
  <si>
    <t xml:space="preserve">Drain plug</t>
  </si>
  <si>
    <t xml:space="preserve">1" rubber plug</t>
  </si>
  <si>
    <t xml:space="preserve">set</t>
  </si>
  <si>
    <t xml:space="preserve">For 1" drain hole in floor panel</t>
  </si>
  <si>
    <t xml:space="preserve">GRAND TOTAL (build + contingency + water station)</t>
  </si>
  <si>
    <t xml:space="preserve">TAPESTRY ACRES FARMSTAND — ORDER SHEET NOTES</t>
  </si>
  <si>
    <t xml:space="preserve">1. WHICH PLAN. This is the Farmstand variant (Giftplan2). It is text-only instructions — it does NOT have the illustrated step-by-step diagrams the original plan has. Dry-fit every sub-assembly before driving screws, and check both diagonals for square at each stage.</t>
  </si>
  <si>
    <t xml:space="preserve">2. PLYWOOD &gt;96" PIECES. Several pieces are longer than a standard 8' (96") sheet — the exterior side panels (~108" tall) and the door planks (~101"). The 15-sheet count follows the plan, which joins two 4×8 sheets vertically over a stud for those. If you'd rather have one-piece panels (cleaner, fewer seams to seal), switch to 4×10 sheets for those parts — tell me and I'll recompute the split.</t>
  </si>
  <si>
    <t xml:space="preserve">3. WHERE THE QUANTITIES COME FROM. The 67× 2×4 and 15× plywood are the plan's own bulk material counts (its detailed per-piece cut list didn't fully come through in the PDF — two pages rendered blank). They include roughly 10% waste, so they're safe to order from. When you have a clean copy of the cut-list pages, cross-check before buying the plywood (it's the priciest line).</t>
  </si>
  <si>
    <t xml:space="preserve">4. FOUNDATION KEPT. You chose the water station, not the wheels — so this stays a fixed build on 4 concrete footings (Simpson ABA44 post bases, 8 bags concrete, 4 tube forms). If you ever want the mobile wheeled base instead, that swaps the footings for 4 locking casters + carriage bolts — just ask.</t>
  </si>
  <si>
    <t xml:space="preserve">5. WATER STATION TOOL. You'll need a 1" hole saw to drill the floor drain hole (and the spigot hole, if you add one). Confirm the cooler's width fits the ~42-3/4" lower compartment with about 2" clearance each side before buying it.</t>
  </si>
  <si>
    <t xml:space="preserve">6. PRICES. Figures are the plan's March 2026 US estimates. Verify locally (Livingston/Cookeville area) — pressure-treated 4×4 and 3/4" plywood swing the most. Estimated total as specced ≈ $2,200–$2,400; a budget build (standard pine, no stain, basic hinges) runs closer to ~$1,750.</t>
  </si>
  <si>
    <t xml:space="preserve">7. PRESSURE-TREATED NOTE. The plan calls for PT only on the 4×4 posts (ground contact). Make sure those are rated for ground contact, and use exterior/coated screws and galvanized connectors throughout so nothing corrodes against treated lumber down the road.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</si>
</sst>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0B97A"/>
      <name val="Arial"/>
      <family val="0"/>
      <charset val="1"/>
    </font>
    <font>
      <i val="true"/>
      <sz val="9"/>
      <color rgb="FFFAF3E7"/>
      <name val="Arial"/>
      <family val="0"/>
      <charset val="1"/>
    </font>
    <font>
      <b val="true"/>
      <sz val="10"/>
      <color rgb="FFFAF3E7"/>
      <name val="Arial"/>
      <family val="0"/>
      <charset val="1"/>
    </font>
    <font>
      <b val="true"/>
      <sz val="10"/>
      <color rgb="FF2C181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E0B97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1810"/>
        <bgColor rgb="FF333333"/>
      </patternFill>
    </fill>
    <fill>
      <patternFill patternType="solid">
        <fgColor rgb="FFC9B299"/>
        <bgColor rgb="FFBBBBBB"/>
      </patternFill>
    </fill>
    <fill>
      <patternFill patternType="solid">
        <fgColor rgb="FFEFE7DA"/>
        <bgColor rgb="FFFAF3E7"/>
      </patternFill>
    </fill>
    <fill>
      <patternFill patternType="solid">
        <fgColor rgb="FFE0B97A"/>
        <bgColor rgb="FFC9B2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3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7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0B97A"/>
      <rgbColor rgb="FF3366FF"/>
      <rgbColor rgb="FF33CCCC"/>
      <rgbColor rgb="FF99CC00"/>
      <rgbColor rgb="FFFFCC00"/>
      <rgbColor rgb="FFFF9900"/>
      <rgbColor rgb="FFFF6600"/>
      <rgbColor rgb="FF555555"/>
      <rgbColor rgb="FFC9B299"/>
      <rgbColor rgb="FF003366"/>
      <rgbColor rgb="FF339966"/>
      <rgbColor rgb="FF003300"/>
      <rgbColor rgb="FF2C181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11</v>
      </c>
      <c r="B6" s="5" t="s">
        <v>12</v>
      </c>
      <c r="C6" s="6" t="n">
        <v>6</v>
      </c>
      <c r="D6" s="6" t="s">
        <v>13</v>
      </c>
      <c r="E6" s="7" t="n">
        <v>18.5</v>
      </c>
      <c r="F6" s="7" t="n">
        <f aca="false">C6*E6</f>
        <v>111</v>
      </c>
      <c r="G6" s="6"/>
      <c r="H6" s="8" t="s">
        <v>14</v>
      </c>
    </row>
    <row r="7" customFormat="false" ht="15" hidden="false" customHeight="false" outlineLevel="0" collapsed="false">
      <c r="A7" s="5" t="s">
        <v>15</v>
      </c>
      <c r="B7" s="5" t="s">
        <v>16</v>
      </c>
      <c r="C7" s="6" t="n">
        <v>6</v>
      </c>
      <c r="D7" s="6" t="s">
        <v>13</v>
      </c>
      <c r="E7" s="7" t="n">
        <v>8.75</v>
      </c>
      <c r="F7" s="7" t="n">
        <f aca="false">C7*E7</f>
        <v>52.5</v>
      </c>
      <c r="G7" s="6"/>
      <c r="H7" s="8" t="s">
        <v>17</v>
      </c>
    </row>
    <row r="8" customFormat="false" ht="15" hidden="false" customHeight="false" outlineLevel="0" collapsed="false">
      <c r="A8" s="9" t="s">
        <v>18</v>
      </c>
      <c r="B8" s="9"/>
      <c r="C8" s="9"/>
      <c r="D8" s="9"/>
      <c r="E8" s="9"/>
      <c r="F8" s="10" t="n">
        <f aca="false">SUM(F6:F7)</f>
        <v>163.5</v>
      </c>
      <c r="G8" s="9"/>
      <c r="H8" s="9"/>
    </row>
    <row r="9" customFormat="false" ht="15" hidden="false" customHeight="false" outlineLevel="0" collapsed="false">
      <c r="A9" s="4" t="s">
        <v>19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5" t="s">
        <v>20</v>
      </c>
      <c r="B10" s="5" t="s">
        <v>21</v>
      </c>
      <c r="C10" s="6" t="n">
        <v>67</v>
      </c>
      <c r="D10" s="6" t="s">
        <v>13</v>
      </c>
      <c r="E10" s="7" t="n">
        <v>5.25</v>
      </c>
      <c r="F10" s="7" t="n">
        <f aca="false">C10*E10</f>
        <v>351.75</v>
      </c>
      <c r="G10" s="6"/>
      <c r="H10" s="8" t="s">
        <v>22</v>
      </c>
    </row>
    <row r="11" customFormat="false" ht="15" hidden="false" customHeight="false" outlineLevel="0" collapsed="false">
      <c r="A11" s="9" t="s">
        <v>18</v>
      </c>
      <c r="B11" s="9"/>
      <c r="C11" s="9"/>
      <c r="D11" s="9"/>
      <c r="E11" s="9"/>
      <c r="F11" s="10" t="n">
        <f aca="false">SUM(F10:F10)</f>
        <v>351.75</v>
      </c>
      <c r="G11" s="9"/>
      <c r="H11" s="9"/>
    </row>
    <row r="12" customFormat="false" ht="15" hidden="false" customHeight="false" outlineLevel="0" collapsed="false">
      <c r="A12" s="4" t="s">
        <v>23</v>
      </c>
      <c r="B12" s="4"/>
      <c r="C12" s="4"/>
      <c r="D12" s="4"/>
      <c r="E12" s="4"/>
      <c r="F12" s="4"/>
      <c r="G12" s="4"/>
      <c r="H12" s="4"/>
    </row>
    <row r="13" customFormat="false" ht="22.35" hidden="false" customHeight="false" outlineLevel="0" collapsed="false">
      <c r="A13" s="5" t="s">
        <v>24</v>
      </c>
      <c r="B13" s="5" t="s">
        <v>25</v>
      </c>
      <c r="C13" s="6" t="n">
        <v>15</v>
      </c>
      <c r="D13" s="6" t="s">
        <v>26</v>
      </c>
      <c r="E13" s="7" t="n">
        <v>52</v>
      </c>
      <c r="F13" s="7" t="n">
        <f aca="false">C13*E13</f>
        <v>780</v>
      </c>
      <c r="G13" s="6"/>
      <c r="H13" s="8" t="s">
        <v>27</v>
      </c>
    </row>
    <row r="14" customFormat="false" ht="15" hidden="false" customHeight="false" outlineLevel="0" collapsed="false">
      <c r="A14" s="9" t="s">
        <v>18</v>
      </c>
      <c r="B14" s="9"/>
      <c r="C14" s="9"/>
      <c r="D14" s="9"/>
      <c r="E14" s="9"/>
      <c r="F14" s="10" t="n">
        <f aca="false">SUM(F13:F13)</f>
        <v>780</v>
      </c>
      <c r="G14" s="9"/>
      <c r="H14" s="9"/>
    </row>
    <row r="15" customFormat="false" ht="15" hidden="false" customHeight="false" outlineLevel="0" collapsed="false">
      <c r="A15" s="4" t="s">
        <v>28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5" t="s">
        <v>29</v>
      </c>
      <c r="B16" s="5" t="s">
        <v>30</v>
      </c>
      <c r="C16" s="6" t="n">
        <v>4</v>
      </c>
      <c r="D16" s="6" t="s">
        <v>26</v>
      </c>
      <c r="E16" s="7" t="n">
        <v>42</v>
      </c>
      <c r="F16" s="7" t="n">
        <f aca="false">C16*E16</f>
        <v>168</v>
      </c>
      <c r="G16" s="6"/>
      <c r="H16" s="8" t="s">
        <v>31</v>
      </c>
    </row>
    <row r="17" customFormat="false" ht="15" hidden="false" customHeight="false" outlineLevel="0" collapsed="false">
      <c r="A17" s="5" t="s">
        <v>32</v>
      </c>
      <c r="B17" s="5" t="s">
        <v>33</v>
      </c>
      <c r="C17" s="6" t="n">
        <v>1</v>
      </c>
      <c r="D17" s="6" t="s">
        <v>34</v>
      </c>
      <c r="E17" s="7" t="n">
        <v>12.5</v>
      </c>
      <c r="F17" s="7" t="n">
        <f aca="false">C17*E17</f>
        <v>12.5</v>
      </c>
      <c r="G17" s="6"/>
      <c r="H17" s="8" t="s">
        <v>35</v>
      </c>
    </row>
    <row r="18" customFormat="false" ht="15" hidden="false" customHeight="false" outlineLevel="0" collapsed="false">
      <c r="A18" s="5" t="s">
        <v>36</v>
      </c>
      <c r="B18" s="5" t="s">
        <v>37</v>
      </c>
      <c r="C18" s="6" t="n">
        <v>1</v>
      </c>
      <c r="D18" s="6" t="s">
        <v>38</v>
      </c>
      <c r="E18" s="7" t="n">
        <v>8</v>
      </c>
      <c r="F18" s="7" t="n">
        <f aca="false">C18*E18</f>
        <v>8</v>
      </c>
      <c r="G18" s="6"/>
      <c r="H18" s="8" t="s">
        <v>39</v>
      </c>
    </row>
    <row r="19" customFormat="false" ht="15" hidden="false" customHeight="false" outlineLevel="0" collapsed="false">
      <c r="A19" s="9" t="s">
        <v>18</v>
      </c>
      <c r="B19" s="9"/>
      <c r="C19" s="9"/>
      <c r="D19" s="9"/>
      <c r="E19" s="9"/>
      <c r="F19" s="10" t="n">
        <f aca="false">SUM(F16:F18)</f>
        <v>188.5</v>
      </c>
      <c r="G19" s="9"/>
      <c r="H19" s="9"/>
    </row>
    <row r="20" customFormat="false" ht="15" hidden="false" customHeight="false" outlineLevel="0" collapsed="false">
      <c r="A20" s="4" t="s">
        <v>40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5" t="s">
        <v>41</v>
      </c>
      <c r="B21" s="5" t="s">
        <v>42</v>
      </c>
      <c r="C21" s="6" t="n">
        <v>1</v>
      </c>
      <c r="D21" s="6" t="s">
        <v>43</v>
      </c>
      <c r="E21" s="7" t="n">
        <v>22</v>
      </c>
      <c r="F21" s="7" t="n">
        <f aca="false">C21*E21</f>
        <v>22</v>
      </c>
      <c r="G21" s="6"/>
      <c r="H21" s="8" t="s">
        <v>44</v>
      </c>
    </row>
    <row r="22" customFormat="false" ht="15" hidden="false" customHeight="false" outlineLevel="0" collapsed="false">
      <c r="A22" s="5" t="s">
        <v>45</v>
      </c>
      <c r="B22" s="5" t="s">
        <v>46</v>
      </c>
      <c r="C22" s="6" t="n">
        <v>2</v>
      </c>
      <c r="D22" s="6" t="s">
        <v>47</v>
      </c>
      <c r="E22" s="7" t="n">
        <v>14</v>
      </c>
      <c r="F22" s="7" t="n">
        <f aca="false">C22*E22</f>
        <v>28</v>
      </c>
      <c r="G22" s="6"/>
      <c r="H22" s="8" t="s">
        <v>48</v>
      </c>
    </row>
    <row r="23" customFormat="false" ht="15" hidden="false" customHeight="false" outlineLevel="0" collapsed="false">
      <c r="A23" s="5" t="s">
        <v>49</v>
      </c>
      <c r="B23" s="5" t="s">
        <v>50</v>
      </c>
      <c r="C23" s="6" t="n">
        <v>2</v>
      </c>
      <c r="D23" s="6" t="s">
        <v>47</v>
      </c>
      <c r="E23" s="7" t="n">
        <v>12</v>
      </c>
      <c r="F23" s="7" t="n">
        <f aca="false">C23*E23</f>
        <v>24</v>
      </c>
      <c r="G23" s="6"/>
      <c r="H23" s="8" t="s">
        <v>51</v>
      </c>
    </row>
    <row r="24" customFormat="false" ht="15" hidden="false" customHeight="false" outlineLevel="0" collapsed="false">
      <c r="A24" s="5" t="s">
        <v>52</v>
      </c>
      <c r="B24" s="5" t="s">
        <v>53</v>
      </c>
      <c r="C24" s="6" t="n">
        <v>10</v>
      </c>
      <c r="D24" s="6" t="s">
        <v>13</v>
      </c>
      <c r="E24" s="7" t="n">
        <v>7.5</v>
      </c>
      <c r="F24" s="7" t="n">
        <f aca="false">C24*E24</f>
        <v>75</v>
      </c>
      <c r="G24" s="6"/>
      <c r="H24" s="8" t="s">
        <v>54</v>
      </c>
    </row>
    <row r="25" customFormat="false" ht="15" hidden="false" customHeight="false" outlineLevel="0" collapsed="false">
      <c r="A25" s="5" t="s">
        <v>55</v>
      </c>
      <c r="B25" s="5" t="s">
        <v>56</v>
      </c>
      <c r="C25" s="6" t="n">
        <v>2</v>
      </c>
      <c r="D25" s="6" t="s">
        <v>13</v>
      </c>
      <c r="E25" s="7" t="n">
        <v>18</v>
      </c>
      <c r="F25" s="7" t="n">
        <f aca="false">C25*E25</f>
        <v>36</v>
      </c>
      <c r="G25" s="6"/>
      <c r="H25" s="8" t="s">
        <v>57</v>
      </c>
    </row>
    <row r="26" customFormat="false" ht="15" hidden="false" customHeight="false" outlineLevel="0" collapsed="false">
      <c r="A26" s="5" t="s">
        <v>58</v>
      </c>
      <c r="B26" s="5" t="s">
        <v>59</v>
      </c>
      <c r="C26" s="6" t="n">
        <v>1</v>
      </c>
      <c r="D26" s="6" t="s">
        <v>60</v>
      </c>
      <c r="E26" s="7" t="n">
        <v>12</v>
      </c>
      <c r="F26" s="7" t="n">
        <f aca="false">C26*E26</f>
        <v>12</v>
      </c>
      <c r="G26" s="6"/>
      <c r="H26" s="8" t="s">
        <v>61</v>
      </c>
    </row>
    <row r="27" customFormat="false" ht="15" hidden="false" customHeight="false" outlineLevel="0" collapsed="false">
      <c r="A27" s="5" t="s">
        <v>62</v>
      </c>
      <c r="B27" s="5" t="s">
        <v>63</v>
      </c>
      <c r="C27" s="6" t="n">
        <v>6</v>
      </c>
      <c r="D27" s="6" t="s">
        <v>13</v>
      </c>
      <c r="E27" s="7" t="n">
        <v>3.5</v>
      </c>
      <c r="F27" s="7" t="n">
        <f aca="false">C27*E27</f>
        <v>21</v>
      </c>
      <c r="G27" s="6"/>
      <c r="H27" s="8" t="s">
        <v>64</v>
      </c>
    </row>
    <row r="28" customFormat="false" ht="15" hidden="false" customHeight="false" outlineLevel="0" collapsed="false">
      <c r="A28" s="5" t="s">
        <v>65</v>
      </c>
      <c r="B28" s="5" t="s">
        <v>66</v>
      </c>
      <c r="C28" s="6" t="n">
        <v>14</v>
      </c>
      <c r="D28" s="6" t="s">
        <v>13</v>
      </c>
      <c r="E28" s="7" t="n">
        <v>1.2</v>
      </c>
      <c r="F28" s="7" t="n">
        <f aca="false">C28*E28</f>
        <v>16.8</v>
      </c>
      <c r="G28" s="6"/>
      <c r="H28" s="8" t="s">
        <v>67</v>
      </c>
    </row>
    <row r="29" customFormat="false" ht="15" hidden="false" customHeight="false" outlineLevel="0" collapsed="false">
      <c r="A29" s="5" t="s">
        <v>68</v>
      </c>
      <c r="B29" s="5" t="s">
        <v>69</v>
      </c>
      <c r="C29" s="6" t="n">
        <v>4</v>
      </c>
      <c r="D29" s="6" t="s">
        <v>13</v>
      </c>
      <c r="E29" s="7" t="n">
        <v>14</v>
      </c>
      <c r="F29" s="7" t="n">
        <f aca="false">C29*E29</f>
        <v>56</v>
      </c>
      <c r="G29" s="6"/>
      <c r="H29" s="8" t="s">
        <v>70</v>
      </c>
    </row>
    <row r="30" customFormat="false" ht="15" hidden="false" customHeight="false" outlineLevel="0" collapsed="false">
      <c r="A30" s="5" t="s">
        <v>71</v>
      </c>
      <c r="B30" s="5" t="s">
        <v>72</v>
      </c>
      <c r="C30" s="6" t="n">
        <v>10</v>
      </c>
      <c r="D30" s="6" t="s">
        <v>13</v>
      </c>
      <c r="E30" s="7" t="n">
        <v>1.5</v>
      </c>
      <c r="F30" s="7" t="n">
        <f aca="false">C30*E30</f>
        <v>15</v>
      </c>
      <c r="G30" s="6"/>
      <c r="H30" s="8" t="s">
        <v>73</v>
      </c>
    </row>
    <row r="31" customFormat="false" ht="15" hidden="false" customHeight="false" outlineLevel="0" collapsed="false">
      <c r="A31" s="9" t="s">
        <v>18</v>
      </c>
      <c r="B31" s="9"/>
      <c r="C31" s="9"/>
      <c r="D31" s="9"/>
      <c r="E31" s="9"/>
      <c r="F31" s="10" t="n">
        <f aca="false">SUM(F21:F30)</f>
        <v>305.8</v>
      </c>
      <c r="G31" s="9"/>
      <c r="H31" s="9"/>
    </row>
    <row r="32" customFormat="false" ht="15" hidden="false" customHeight="false" outlineLevel="0" collapsed="false">
      <c r="A32" s="4" t="s">
        <v>74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5" t="s">
        <v>75</v>
      </c>
      <c r="B33" s="5" t="s">
        <v>76</v>
      </c>
      <c r="C33" s="6" t="n">
        <v>8</v>
      </c>
      <c r="D33" s="6" t="s">
        <v>77</v>
      </c>
      <c r="E33" s="7" t="n">
        <v>7.5</v>
      </c>
      <c r="F33" s="7" t="n">
        <f aca="false">C33*E33</f>
        <v>60</v>
      </c>
      <c r="G33" s="6"/>
      <c r="H33" s="8" t="s">
        <v>78</v>
      </c>
    </row>
    <row r="34" customFormat="false" ht="15" hidden="false" customHeight="false" outlineLevel="0" collapsed="false">
      <c r="A34" s="5" t="s">
        <v>79</v>
      </c>
      <c r="B34" s="5" t="s">
        <v>80</v>
      </c>
      <c r="C34" s="6" t="n">
        <v>4</v>
      </c>
      <c r="D34" s="6" t="s">
        <v>13</v>
      </c>
      <c r="E34" s="7" t="n">
        <v>9</v>
      </c>
      <c r="F34" s="7" t="n">
        <f aca="false">C34*E34</f>
        <v>36</v>
      </c>
      <c r="G34" s="6"/>
      <c r="H34" s="8" t="s">
        <v>81</v>
      </c>
    </row>
    <row r="35" customFormat="false" ht="15" hidden="false" customHeight="false" outlineLevel="0" collapsed="false">
      <c r="A35" s="9" t="s">
        <v>18</v>
      </c>
      <c r="B35" s="9"/>
      <c r="C35" s="9"/>
      <c r="D35" s="9"/>
      <c r="E35" s="9"/>
      <c r="F35" s="10" t="n">
        <f aca="false">SUM(F33:F34)</f>
        <v>96</v>
      </c>
      <c r="G35" s="9"/>
      <c r="H35" s="9"/>
    </row>
    <row r="36" customFormat="false" ht="15" hidden="false" customHeight="false" outlineLevel="0" collapsed="false">
      <c r="A36" s="4" t="s">
        <v>82</v>
      </c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5" t="s">
        <v>83</v>
      </c>
      <c r="B37" s="5" t="s">
        <v>84</v>
      </c>
      <c r="C37" s="6" t="n">
        <v>2</v>
      </c>
      <c r="D37" s="6" t="s">
        <v>85</v>
      </c>
      <c r="E37" s="7" t="n">
        <v>8</v>
      </c>
      <c r="F37" s="7" t="n">
        <f aca="false">C37*E37</f>
        <v>16</v>
      </c>
      <c r="G37" s="6"/>
      <c r="H37" s="8" t="s">
        <v>86</v>
      </c>
    </row>
    <row r="38" customFormat="false" ht="15" hidden="false" customHeight="false" outlineLevel="0" collapsed="false">
      <c r="A38" s="5" t="s">
        <v>87</v>
      </c>
      <c r="B38" s="5" t="s">
        <v>88</v>
      </c>
      <c r="C38" s="6" t="n">
        <v>2</v>
      </c>
      <c r="D38" s="6" t="s">
        <v>89</v>
      </c>
      <c r="E38" s="7" t="n">
        <v>38</v>
      </c>
      <c r="F38" s="7" t="n">
        <f aca="false">C38*E38</f>
        <v>76</v>
      </c>
      <c r="G38" s="6"/>
      <c r="H38" s="8" t="s">
        <v>90</v>
      </c>
    </row>
    <row r="39" customFormat="false" ht="15" hidden="false" customHeight="false" outlineLevel="0" collapsed="false">
      <c r="A39" s="5" t="s">
        <v>91</v>
      </c>
      <c r="B39" s="5" t="s">
        <v>92</v>
      </c>
      <c r="C39" s="6" t="n">
        <v>1</v>
      </c>
      <c r="D39" s="6" t="s">
        <v>93</v>
      </c>
      <c r="E39" s="7" t="n">
        <v>22</v>
      </c>
      <c r="F39" s="7" t="n">
        <f aca="false">C39*E39</f>
        <v>22</v>
      </c>
      <c r="G39" s="6"/>
      <c r="H39" s="8" t="s">
        <v>94</v>
      </c>
    </row>
    <row r="40" customFormat="false" ht="15" hidden="false" customHeight="false" outlineLevel="0" collapsed="false">
      <c r="A40" s="5" t="s">
        <v>95</v>
      </c>
      <c r="B40" s="5" t="s">
        <v>96</v>
      </c>
      <c r="C40" s="6" t="n">
        <v>2</v>
      </c>
      <c r="D40" s="6" t="s">
        <v>97</v>
      </c>
      <c r="E40" s="7" t="n">
        <v>6</v>
      </c>
      <c r="F40" s="7" t="n">
        <f aca="false">C40*E40</f>
        <v>12</v>
      </c>
      <c r="G40" s="6"/>
      <c r="H40" s="8" t="s">
        <v>98</v>
      </c>
    </row>
    <row r="41" customFormat="false" ht="15" hidden="false" customHeight="false" outlineLevel="0" collapsed="false">
      <c r="A41" s="9" t="s">
        <v>18</v>
      </c>
      <c r="B41" s="9"/>
      <c r="C41" s="9"/>
      <c r="D41" s="9"/>
      <c r="E41" s="9"/>
      <c r="F41" s="10" t="n">
        <f aca="false">SUM(F37:F40)</f>
        <v>126</v>
      </c>
      <c r="G41" s="9"/>
      <c r="H41" s="9"/>
    </row>
    <row r="42" customFormat="false" ht="15" hidden="false" customHeight="false" outlineLevel="0" collapsed="false">
      <c r="A42" s="11" t="s">
        <v>99</v>
      </c>
      <c r="B42" s="11"/>
      <c r="C42" s="11"/>
      <c r="D42" s="11"/>
      <c r="E42" s="11"/>
      <c r="F42" s="12" t="n">
        <f aca="false">F8+F11+F14+F19+F31+F35+F41</f>
        <v>2011.55</v>
      </c>
      <c r="G42" s="11"/>
      <c r="H42" s="11"/>
    </row>
    <row r="43" customFormat="false" ht="15" hidden="false" customHeight="false" outlineLevel="0" collapsed="false">
      <c r="A43" s="9" t="s">
        <v>100</v>
      </c>
      <c r="B43" s="9"/>
      <c r="C43" s="9"/>
      <c r="D43" s="9"/>
      <c r="E43" s="9"/>
      <c r="F43" s="10" t="n">
        <f aca="false">ROUND(F42*0.1,2)</f>
        <v>201.16</v>
      </c>
      <c r="G43" s="9"/>
      <c r="H43" s="9"/>
    </row>
    <row r="45" customFormat="false" ht="15" hidden="false" customHeight="false" outlineLevel="0" collapsed="false">
      <c r="A45" s="4" t="s">
        <v>101</v>
      </c>
      <c r="B45" s="4"/>
      <c r="C45" s="4"/>
      <c r="D45" s="4"/>
      <c r="E45" s="4"/>
      <c r="F45" s="4"/>
      <c r="G45" s="4"/>
      <c r="H45" s="4"/>
    </row>
    <row r="46" customFormat="false" ht="22.35" hidden="false" customHeight="false" outlineLevel="0" collapsed="false">
      <c r="A46" s="5" t="s">
        <v>102</v>
      </c>
      <c r="B46" s="5" t="s">
        <v>103</v>
      </c>
      <c r="C46" s="6" t="n">
        <v>1</v>
      </c>
      <c r="D46" s="6" t="s">
        <v>104</v>
      </c>
      <c r="E46" s="7" t="n">
        <v>95</v>
      </c>
      <c r="F46" s="7" t="n">
        <f aca="false">C46*E46</f>
        <v>95</v>
      </c>
      <c r="G46" s="6"/>
      <c r="H46" s="8" t="s">
        <v>105</v>
      </c>
    </row>
    <row r="47" customFormat="false" ht="15" hidden="false" customHeight="false" outlineLevel="0" collapsed="false">
      <c r="A47" s="5" t="s">
        <v>106</v>
      </c>
      <c r="B47" s="5" t="s">
        <v>107</v>
      </c>
      <c r="C47" s="6" t="n">
        <v>1</v>
      </c>
      <c r="D47" s="6" t="s">
        <v>104</v>
      </c>
      <c r="E47" s="7" t="n">
        <v>15</v>
      </c>
      <c r="F47" s="7" t="n">
        <f aca="false">C47*E47</f>
        <v>15</v>
      </c>
      <c r="G47" s="6"/>
      <c r="H47" s="8" t="s">
        <v>108</v>
      </c>
    </row>
    <row r="48" customFormat="false" ht="15" hidden="false" customHeight="false" outlineLevel="0" collapsed="false">
      <c r="A48" s="5" t="s">
        <v>109</v>
      </c>
      <c r="B48" s="5" t="s">
        <v>110</v>
      </c>
      <c r="C48" s="6" t="n">
        <v>2</v>
      </c>
      <c r="D48" s="6" t="s">
        <v>111</v>
      </c>
      <c r="E48" s="7" t="n">
        <v>4</v>
      </c>
      <c r="F48" s="7" t="n">
        <f aca="false">C48*E48</f>
        <v>8</v>
      </c>
      <c r="G48" s="6"/>
      <c r="H48" s="8" t="s">
        <v>112</v>
      </c>
    </row>
    <row r="49" customFormat="false" ht="15" hidden="false" customHeight="false" outlineLevel="0" collapsed="false">
      <c r="A49" s="5" t="s">
        <v>113</v>
      </c>
      <c r="B49" s="5" t="s">
        <v>114</v>
      </c>
      <c r="C49" s="6" t="n">
        <v>1</v>
      </c>
      <c r="D49" s="6" t="s">
        <v>104</v>
      </c>
      <c r="E49" s="7" t="n">
        <v>12</v>
      </c>
      <c r="F49" s="7" t="n">
        <f aca="false">C49*E49</f>
        <v>12</v>
      </c>
      <c r="G49" s="6"/>
      <c r="H49" s="8" t="s">
        <v>115</v>
      </c>
    </row>
    <row r="50" customFormat="false" ht="15" hidden="false" customHeight="false" outlineLevel="0" collapsed="false">
      <c r="A50" s="5" t="s">
        <v>116</v>
      </c>
      <c r="B50" s="5" t="s">
        <v>117</v>
      </c>
      <c r="C50" s="6" t="n">
        <v>4</v>
      </c>
      <c r="D50" s="6" t="s">
        <v>104</v>
      </c>
      <c r="E50" s="7" t="n">
        <v>5</v>
      </c>
      <c r="F50" s="7" t="n">
        <f aca="false">C50*E50</f>
        <v>20</v>
      </c>
      <c r="G50" s="6"/>
      <c r="H50" s="8" t="s">
        <v>118</v>
      </c>
    </row>
    <row r="51" customFormat="false" ht="15" hidden="false" customHeight="false" outlineLevel="0" collapsed="false">
      <c r="A51" s="5" t="s">
        <v>119</v>
      </c>
      <c r="B51" s="5" t="s">
        <v>120</v>
      </c>
      <c r="C51" s="6" t="n">
        <v>1</v>
      </c>
      <c r="D51" s="6" t="s">
        <v>121</v>
      </c>
      <c r="E51" s="7" t="n">
        <v>4</v>
      </c>
      <c r="F51" s="7" t="n">
        <f aca="false">C51*E51</f>
        <v>4</v>
      </c>
      <c r="G51" s="6"/>
      <c r="H51" s="8" t="s">
        <v>122</v>
      </c>
    </row>
    <row r="52" customFormat="false" ht="15" hidden="false" customHeight="false" outlineLevel="0" collapsed="false">
      <c r="A52" s="9" t="s">
        <v>18</v>
      </c>
      <c r="B52" s="9"/>
      <c r="C52" s="9"/>
      <c r="D52" s="9"/>
      <c r="E52" s="9"/>
      <c r="F52" s="10" t="n">
        <f aca="false">SUM(F46:F51)</f>
        <v>154</v>
      </c>
      <c r="G52" s="9"/>
      <c r="H52" s="9"/>
    </row>
    <row r="53" customFormat="false" ht="21.75" hidden="false" customHeight="true" outlineLevel="0" collapsed="false">
      <c r="A53" s="13" t="s">
        <v>123</v>
      </c>
      <c r="B53" s="13"/>
      <c r="C53" s="13"/>
      <c r="D53" s="13"/>
      <c r="E53" s="13"/>
      <c r="F53" s="14" t="n">
        <f aca="false">F42+F43+F52</f>
        <v>2366.71</v>
      </c>
      <c r="G53" s="15"/>
      <c r="H53" s="15"/>
    </row>
  </sheetData>
  <mergeCells count="11">
    <mergeCell ref="A1:H1"/>
    <mergeCell ref="A2:H2"/>
    <mergeCell ref="A5:H5"/>
    <mergeCell ref="A9:H9"/>
    <mergeCell ref="A12:H12"/>
    <mergeCell ref="A15:H15"/>
    <mergeCell ref="A20:H20"/>
    <mergeCell ref="A32:H32"/>
    <mergeCell ref="A36:H36"/>
    <mergeCell ref="A45:H45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4" hidden="false" customHeight="true" outlineLevel="0" collapsed="false">
      <c r="A1" s="16" t="s">
        <v>124</v>
      </c>
    </row>
    <row r="2" customFormat="false" ht="13.5" hidden="false" customHeight="true" outlineLevel="0" collapsed="false">
      <c r="A2" s="17"/>
    </row>
    <row r="3" customFormat="false" ht="45.75" hidden="false" customHeight="true" outlineLevel="0" collapsed="false">
      <c r="A3" s="17" t="s">
        <v>125</v>
      </c>
    </row>
    <row r="4" customFormat="false" ht="13.5" hidden="false" customHeight="true" outlineLevel="0" collapsed="false">
      <c r="A4" s="17"/>
    </row>
    <row r="5" customFormat="false" ht="45.75" hidden="false" customHeight="true" outlineLevel="0" collapsed="false">
      <c r="A5" s="17" t="s">
        <v>126</v>
      </c>
    </row>
    <row r="6" customFormat="false" ht="13.5" hidden="false" customHeight="true" outlineLevel="0" collapsed="false">
      <c r="A6" s="17"/>
    </row>
    <row r="7" customFormat="false" ht="45.75" hidden="false" customHeight="true" outlineLevel="0" collapsed="false">
      <c r="A7" s="17" t="s">
        <v>127</v>
      </c>
    </row>
    <row r="8" customFormat="false" ht="13.5" hidden="false" customHeight="true" outlineLevel="0" collapsed="false">
      <c r="A8" s="17"/>
    </row>
    <row r="9" customFormat="false" ht="45.75" hidden="false" customHeight="true" outlineLevel="0" collapsed="false">
      <c r="A9" s="17" t="s">
        <v>128</v>
      </c>
    </row>
    <row r="10" customFormat="false" ht="13.5" hidden="false" customHeight="true" outlineLevel="0" collapsed="false">
      <c r="A10" s="17"/>
    </row>
    <row r="11" customFormat="false" ht="45.75" hidden="false" customHeight="true" outlineLevel="0" collapsed="false">
      <c r="A11" s="17" t="s">
        <v>129</v>
      </c>
    </row>
    <row r="12" customFormat="false" ht="13.5" hidden="false" customHeight="true" outlineLevel="0" collapsed="false">
      <c r="A12" s="17"/>
    </row>
    <row r="13" customFormat="false" ht="45.75" hidden="false" customHeight="true" outlineLevel="0" collapsed="false">
      <c r="A13" s="17" t="s">
        <v>130</v>
      </c>
    </row>
    <row r="14" customFormat="false" ht="13.5" hidden="false" customHeight="true" outlineLevel="0" collapsed="false">
      <c r="A14" s="17"/>
    </row>
    <row r="15" customFormat="false" ht="45.75" hidden="false" customHeight="true" outlineLevel="0" collapsed="false">
      <c r="A15" s="17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2026-06-02T04:54:26Z</dcterms:created>
  <dc:creator>openpyxl</dc:creator>
  <dc:description/>
  <dc:language>en-US</dc:language>
  <cp:lastModifiedBy/>
  <dcterms:modified xsi:type="dcterms:W3CDTF">2026-06-02T04:54:26Z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